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\Desktop\IB ops projects\"/>
    </mc:Choice>
  </mc:AlternateContent>
  <xr:revisionPtr revIDLastSave="0" documentId="13_ncr:1_{7B7C9EA2-63CD-4BEF-B7BF-688B95489A98}" xr6:coauthVersionLast="47" xr6:coauthVersionMax="47" xr10:uidLastSave="{00000000-0000-0000-0000-000000000000}"/>
  <bookViews>
    <workbookView xWindow="-108" yWindow="-108" windowWidth="23256" windowHeight="12456" activeTab="2" xr2:uid="{C8B627C0-97A8-4020-B616-108BD58FC747}"/>
  </bookViews>
  <sheets>
    <sheet name="EQ_Security_Master" sheetId="1" r:id="rId1"/>
    <sheet name="RefData" sheetId="2" r:id="rId2"/>
    <sheet name="FI_Security_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J6" i="3"/>
  <c r="J7" i="3"/>
  <c r="J8" i="3"/>
  <c r="J4" i="3"/>
  <c r="E5" i="3"/>
  <c r="E6" i="3"/>
  <c r="E7" i="3"/>
  <c r="E8" i="3"/>
  <c r="E4" i="3"/>
  <c r="L5" i="1"/>
  <c r="L6" i="1"/>
  <c r="L7" i="1"/>
  <c r="L8" i="1"/>
  <c r="L9" i="1"/>
  <c r="L10" i="1"/>
  <c r="L11" i="1"/>
  <c r="L12" i="1"/>
  <c r="L13" i="1"/>
  <c r="L4" i="1"/>
  <c r="G5" i="1"/>
  <c r="G6" i="1"/>
  <c r="G7" i="1"/>
  <c r="G8" i="1"/>
  <c r="G9" i="1"/>
  <c r="G10" i="1"/>
  <c r="G11" i="1"/>
  <c r="G12" i="1"/>
  <c r="G13" i="1"/>
  <c r="G4" i="1"/>
  <c r="E5" i="1"/>
  <c r="E6" i="1"/>
  <c r="E7" i="1"/>
  <c r="E8" i="1"/>
  <c r="E9" i="1"/>
  <c r="E10" i="1"/>
  <c r="E11" i="1"/>
  <c r="E12" i="1"/>
  <c r="E13" i="1"/>
  <c r="E4" i="1"/>
  <c r="F4" i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<sst xmlns="http://schemas.openxmlformats.org/spreadsheetml/2006/main" count="157" uniqueCount="87">
  <si>
    <t>Security Name</t>
  </si>
  <si>
    <t>Ticker</t>
  </si>
  <si>
    <t>ISIN</t>
  </si>
  <si>
    <t>Country</t>
  </si>
  <si>
    <t>Exchange</t>
  </si>
  <si>
    <t>Currency</t>
  </si>
  <si>
    <t>Sector</t>
  </si>
  <si>
    <t>Assset Class</t>
  </si>
  <si>
    <t>Lot Size</t>
  </si>
  <si>
    <t>Trading Status</t>
  </si>
  <si>
    <t>Listing Type</t>
  </si>
  <si>
    <t>Risk Category</t>
  </si>
  <si>
    <t>Reliance Industries</t>
  </si>
  <si>
    <t>HDFC Bank</t>
  </si>
  <si>
    <t>Infosys</t>
  </si>
  <si>
    <t>Tata Motors</t>
  </si>
  <si>
    <t>ICICI Bank</t>
  </si>
  <si>
    <t>Apple</t>
  </si>
  <si>
    <t>Microsoft</t>
  </si>
  <si>
    <t>Amazon</t>
  </si>
  <si>
    <t>JPMorgan Chase</t>
  </si>
  <si>
    <t>Coca-Cola</t>
  </si>
  <si>
    <t>RELIANCE</t>
  </si>
  <si>
    <t>HDFCBANK</t>
  </si>
  <si>
    <t>INFY</t>
  </si>
  <si>
    <t>TATAMOTORS</t>
  </si>
  <si>
    <t>ICICIBANK</t>
  </si>
  <si>
    <t>AAPL</t>
  </si>
  <si>
    <t>MSFT</t>
  </si>
  <si>
    <t>AMZN</t>
  </si>
  <si>
    <t>JPM</t>
  </si>
  <si>
    <t>KO</t>
  </si>
  <si>
    <t>INE002A01018</t>
  </si>
  <si>
    <t>INE001A01036</t>
  </si>
  <si>
    <t>INE009A01021</t>
  </si>
  <si>
    <t>INE155A01022</t>
  </si>
  <si>
    <t>INE090A01021</t>
  </si>
  <si>
    <t>INE154A01025</t>
  </si>
  <si>
    <t>INE075A01022</t>
  </si>
  <si>
    <t>INE397D01024</t>
  </si>
  <si>
    <t>INE423A01024</t>
  </si>
  <si>
    <t>INE062A01020</t>
  </si>
  <si>
    <t>India</t>
  </si>
  <si>
    <t>US</t>
  </si>
  <si>
    <t>Equity</t>
  </si>
  <si>
    <t>Active</t>
  </si>
  <si>
    <t>Primary</t>
  </si>
  <si>
    <t>Equity Exchange</t>
  </si>
  <si>
    <t>INR</t>
  </si>
  <si>
    <t>NSE</t>
  </si>
  <si>
    <t>NYSE</t>
  </si>
  <si>
    <t>USD</t>
  </si>
  <si>
    <t>Energy / Conglomerate</t>
  </si>
  <si>
    <t>Banking</t>
  </si>
  <si>
    <t>Information Technology</t>
  </si>
  <si>
    <t>Automotive</t>
  </si>
  <si>
    <t>Technology/Consumer Electronics</t>
  </si>
  <si>
    <t>Technology/Softwere</t>
  </si>
  <si>
    <t>E-commerce/Cloud</t>
  </si>
  <si>
    <t>Banking/Financial Services</t>
  </si>
  <si>
    <t>Beverages/Consumer</t>
  </si>
  <si>
    <t>Risk category</t>
  </si>
  <si>
    <t>Emerging Market</t>
  </si>
  <si>
    <t>Developed Market</t>
  </si>
  <si>
    <t>Bond name</t>
  </si>
  <si>
    <t>Issuer</t>
  </si>
  <si>
    <t>Coupon Rate</t>
  </si>
  <si>
    <t>Maturity Date</t>
  </si>
  <si>
    <t>Face Value</t>
  </si>
  <si>
    <t>Market Type</t>
  </si>
  <si>
    <t>SBI 2028 Corporatre Bond</t>
  </si>
  <si>
    <t>Reliance 2030 Corporate Bond</t>
  </si>
  <si>
    <t>GOI 2027 Govt Bond</t>
  </si>
  <si>
    <t>US Treasury 2034 Govt Bond</t>
  </si>
  <si>
    <t>Apple 2029 corporate Bond</t>
  </si>
  <si>
    <t>SBI</t>
  </si>
  <si>
    <t>Reliance</t>
  </si>
  <si>
    <t>Government of India</t>
  </si>
  <si>
    <t>OTC</t>
  </si>
  <si>
    <t>IN000A028001</t>
  </si>
  <si>
    <t>IN000A030002</t>
  </si>
  <si>
    <t>IN000A027003</t>
  </si>
  <si>
    <t>US000T034004</t>
  </si>
  <si>
    <t>US037A029005</t>
  </si>
  <si>
    <t>EQUITY SECURITY MASTER</t>
  </si>
  <si>
    <t>FIXED INCOME SECURITY MASTER</t>
  </si>
  <si>
    <t>Refernce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</si>
</sst>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.00;[Red]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DCFF-11FB-4114-B624-023D3A48E926}">
  <dimension ref="A1:N13"/>
  <sheetViews>
    <sheetView showGridLines="0" workbookViewId="0">
      <selection activeCell="C22" sqref="C22"/>
    </sheetView>
  </sheetViews>
  <sheetFormatPr defaultRowHeight="14.4" x14ac:dyDescent="0.3"/>
  <cols>
    <col min="1" max="1" width="16.6640625" customWidth="1"/>
    <col min="2" max="2" width="12.44140625" customWidth="1"/>
    <col min="3" max="3" width="13.6640625" customWidth="1"/>
    <col min="5" max="5" width="25.6640625" customWidth="1"/>
    <col min="7" max="7" width="18.6640625" customWidth="1"/>
    <col min="12" max="12" width="16.77734375" customWidth="1"/>
  </cols>
  <sheetData>
    <row r="1" spans="1:14" s="2" customFormat="1" ht="31.2" x14ac:dyDescent="0.3">
      <c r="E1" s="13" t="s">
        <v>84</v>
      </c>
      <c r="N1"/>
    </row>
    <row r="3" spans="1:14" ht="28.8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spans="1:14" x14ac:dyDescent="0.3">
      <c r="A4" s="3" t="s">
        <v>12</v>
      </c>
      <c r="B4" s="3" t="s">
        <v>22</v>
      </c>
      <c r="C4" s="3" t="s">
        <v>32</v>
      </c>
      <c r="D4" s="3" t="s">
        <v>42</v>
      </c>
      <c r="E4" s="3" t="str">
        <f>VLOOKUP(D4, RefData!$A$5:$C$6, 3, FALSE)</f>
        <v>NSE</v>
      </c>
      <c r="F4" s="8" t="str">
        <f>VLOOKUP(D4, RefData!$A$5:$C$6, 2, FALSE)</f>
        <v>INR</v>
      </c>
      <c r="G4" s="3" t="str">
        <f>VLOOKUP(A4, RefData!$E$5:$F$14, 2, FALSE)</f>
        <v>Energy / Conglomerate</v>
      </c>
      <c r="H4" s="3" t="s">
        <v>44</v>
      </c>
      <c r="I4" s="3">
        <v>10</v>
      </c>
      <c r="J4" s="3" t="s">
        <v>45</v>
      </c>
      <c r="K4" s="3" t="s">
        <v>46</v>
      </c>
      <c r="L4" s="3" t="str">
        <f>VLOOKUP(D4, RefData!$H$5:$I$6, 2, FALSE)</f>
        <v>Emerging Market</v>
      </c>
    </row>
    <row r="5" spans="1:14" x14ac:dyDescent="0.3">
      <c r="A5" s="3" t="s">
        <v>13</v>
      </c>
      <c r="B5" s="3" t="s">
        <v>23</v>
      </c>
      <c r="C5" s="3" t="s">
        <v>33</v>
      </c>
      <c r="D5" s="3" t="s">
        <v>42</v>
      </c>
      <c r="E5" s="3" t="str">
        <f>VLOOKUP(D5, RefData!$A$5:$C$6, 3, FALSE)</f>
        <v>NSE</v>
      </c>
      <c r="F5" s="8" t="str">
        <f>VLOOKUP(D5, RefData!$A$5:$C$6, 2, FALSE)</f>
        <v>INR</v>
      </c>
      <c r="G5" s="3" t="str">
        <f>VLOOKUP(A5, RefData!$E$5:$F$14, 2, FALSE)</f>
        <v>Banking</v>
      </c>
      <c r="H5" s="3" t="s">
        <v>44</v>
      </c>
      <c r="I5" s="3">
        <v>5</v>
      </c>
      <c r="J5" s="3" t="s">
        <v>45</v>
      </c>
      <c r="K5" s="3" t="s">
        <v>46</v>
      </c>
      <c r="L5" s="3" t="str">
        <f>VLOOKUP(D5, RefData!$H$5:$I$6, 2, FALSE)</f>
        <v>Emerging Market</v>
      </c>
    </row>
    <row r="6" spans="1:14" x14ac:dyDescent="0.3">
      <c r="A6" s="3" t="s">
        <v>14</v>
      </c>
      <c r="B6" s="3" t="s">
        <v>24</v>
      </c>
      <c r="C6" s="3" t="s">
        <v>34</v>
      </c>
      <c r="D6" s="3" t="s">
        <v>42</v>
      </c>
      <c r="E6" s="3" t="str">
        <f>VLOOKUP(D6, RefData!$A$5:$C$6, 3, FALSE)</f>
        <v>NSE</v>
      </c>
      <c r="F6" s="8" t="str">
        <f>VLOOKUP(D6, RefData!$A$5:$C$6, 2, FALSE)</f>
        <v>INR</v>
      </c>
      <c r="G6" s="3" t="str">
        <f>VLOOKUP(A6, RefData!$E$5:$F$14, 2, FALSE)</f>
        <v>Information Technology</v>
      </c>
      <c r="H6" s="3" t="s">
        <v>44</v>
      </c>
      <c r="I6" s="3">
        <v>2</v>
      </c>
      <c r="J6" s="3" t="s">
        <v>45</v>
      </c>
      <c r="K6" s="3" t="s">
        <v>46</v>
      </c>
      <c r="L6" s="3" t="str">
        <f>VLOOKUP(D6, RefData!$H$5:$I$6, 2, FALSE)</f>
        <v>Emerging Market</v>
      </c>
    </row>
    <row r="7" spans="1:14" x14ac:dyDescent="0.3">
      <c r="A7" s="3" t="s">
        <v>15</v>
      </c>
      <c r="B7" s="3" t="s">
        <v>25</v>
      </c>
      <c r="C7" s="3" t="s">
        <v>35</v>
      </c>
      <c r="D7" s="3" t="s">
        <v>42</v>
      </c>
      <c r="E7" s="3" t="str">
        <f>VLOOKUP(D7, RefData!$A$5:$C$6, 3, FALSE)</f>
        <v>NSE</v>
      </c>
      <c r="F7" s="8" t="str">
        <f>VLOOKUP(D7, RefData!$A$5:$C$6, 2, FALSE)</f>
        <v>INR</v>
      </c>
      <c r="G7" s="3" t="str">
        <f>VLOOKUP(A7, RefData!$E$5:$F$14, 2, FALSE)</f>
        <v>Automotive</v>
      </c>
      <c r="H7" s="3" t="s">
        <v>44</v>
      </c>
      <c r="I7" s="3">
        <v>5</v>
      </c>
      <c r="J7" s="3" t="s">
        <v>45</v>
      </c>
      <c r="K7" s="3" t="s">
        <v>46</v>
      </c>
      <c r="L7" s="3" t="str">
        <f>VLOOKUP(D7, RefData!$H$5:$I$6, 2, FALSE)</f>
        <v>Emerging Market</v>
      </c>
    </row>
    <row r="8" spans="1:14" x14ac:dyDescent="0.3">
      <c r="A8" s="3" t="s">
        <v>16</v>
      </c>
      <c r="B8" s="3" t="s">
        <v>26</v>
      </c>
      <c r="C8" s="3" t="s">
        <v>36</v>
      </c>
      <c r="D8" s="3" t="s">
        <v>42</v>
      </c>
      <c r="E8" s="3" t="str">
        <f>VLOOKUP(D8, RefData!$A$5:$C$6, 3, FALSE)</f>
        <v>NSE</v>
      </c>
      <c r="F8" s="8" t="str">
        <f>VLOOKUP(D8, RefData!$A$5:$C$6, 2, FALSE)</f>
        <v>INR</v>
      </c>
      <c r="G8" s="3" t="str">
        <f>VLOOKUP(A8, RefData!$E$5:$F$14, 2, FALSE)</f>
        <v>Banking</v>
      </c>
      <c r="H8" s="3" t="s">
        <v>44</v>
      </c>
      <c r="I8" s="3">
        <v>5</v>
      </c>
      <c r="J8" s="3" t="s">
        <v>45</v>
      </c>
      <c r="K8" s="3" t="s">
        <v>46</v>
      </c>
      <c r="L8" s="3" t="str">
        <f>VLOOKUP(D8, RefData!$H$5:$I$6, 2, FALSE)</f>
        <v>Emerging Market</v>
      </c>
    </row>
    <row r="9" spans="1:14" x14ac:dyDescent="0.3">
      <c r="A9" s="3" t="s">
        <v>17</v>
      </c>
      <c r="B9" s="3" t="s">
        <v>27</v>
      </c>
      <c r="C9" s="3" t="s">
        <v>37</v>
      </c>
      <c r="D9" s="3" t="s">
        <v>43</v>
      </c>
      <c r="E9" s="3" t="str">
        <f>VLOOKUP(D9, RefData!$A$5:$C$6, 3, FALSE)</f>
        <v>NYSE</v>
      </c>
      <c r="F9" s="7" t="str">
        <f>VLOOKUP(D9, RefData!$A$5:$C$6, 2, FALSE)</f>
        <v>USD</v>
      </c>
      <c r="G9" s="3" t="str">
        <f>VLOOKUP(A9, RefData!$E$5:$F$14, 2, FALSE)</f>
        <v>Technology/Consumer Electronics</v>
      </c>
      <c r="H9" s="3" t="s">
        <v>44</v>
      </c>
      <c r="I9" s="3">
        <v>5</v>
      </c>
      <c r="J9" s="3" t="s">
        <v>45</v>
      </c>
      <c r="K9" s="3" t="s">
        <v>46</v>
      </c>
      <c r="L9" s="3" t="str">
        <f>VLOOKUP(D9, RefData!$H$5:$I$6, 2, FALSE)</f>
        <v>Developed Market</v>
      </c>
    </row>
    <row r="10" spans="1:14" x14ac:dyDescent="0.3">
      <c r="A10" s="3" t="s">
        <v>18</v>
      </c>
      <c r="B10" s="3" t="s">
        <v>28</v>
      </c>
      <c r="C10" s="3" t="s">
        <v>38</v>
      </c>
      <c r="D10" s="3" t="s">
        <v>43</v>
      </c>
      <c r="E10" s="3" t="str">
        <f>VLOOKUP(D10, RefData!$A$5:$C$6, 3, FALSE)</f>
        <v>NYSE</v>
      </c>
      <c r="F10" s="7" t="str">
        <f>VLOOKUP(D10, RefData!$A$5:$C$6, 2, FALSE)</f>
        <v>USD</v>
      </c>
      <c r="G10" s="3" t="str">
        <f>VLOOKUP(A10, RefData!$E$5:$F$14, 2, FALSE)</f>
        <v>Technology/Softwere</v>
      </c>
      <c r="H10" s="3" t="s">
        <v>44</v>
      </c>
      <c r="I10" s="3">
        <v>2</v>
      </c>
      <c r="J10" s="3" t="s">
        <v>45</v>
      </c>
      <c r="K10" s="3" t="s">
        <v>46</v>
      </c>
      <c r="L10" s="3" t="str">
        <f>VLOOKUP(D10, RefData!$H$5:$I$6, 2, FALSE)</f>
        <v>Developed Market</v>
      </c>
    </row>
    <row r="11" spans="1:14" x14ac:dyDescent="0.3">
      <c r="A11" s="3" t="s">
        <v>19</v>
      </c>
      <c r="B11" s="3" t="s">
        <v>29</v>
      </c>
      <c r="C11" s="3" t="s">
        <v>39</v>
      </c>
      <c r="D11" s="3" t="s">
        <v>43</v>
      </c>
      <c r="E11" s="3" t="str">
        <f>VLOOKUP(D11, RefData!$A$5:$C$6, 3, FALSE)</f>
        <v>NYSE</v>
      </c>
      <c r="F11" s="7" t="str">
        <f>VLOOKUP(D11, RefData!$A$5:$C$6, 2, FALSE)</f>
        <v>USD</v>
      </c>
      <c r="G11" s="3" t="str">
        <f>VLOOKUP(A11, RefData!$E$5:$F$14, 2, FALSE)</f>
        <v>E-commerce/Cloud</v>
      </c>
      <c r="H11" s="3" t="s">
        <v>44</v>
      </c>
      <c r="I11" s="3">
        <v>10</v>
      </c>
      <c r="J11" s="3" t="s">
        <v>45</v>
      </c>
      <c r="K11" s="3" t="s">
        <v>46</v>
      </c>
      <c r="L11" s="3" t="str">
        <f>VLOOKUP(D11, RefData!$H$5:$I$6, 2, FALSE)</f>
        <v>Developed Market</v>
      </c>
    </row>
    <row r="12" spans="1:14" x14ac:dyDescent="0.3">
      <c r="A12" s="3" t="s">
        <v>20</v>
      </c>
      <c r="B12" s="3" t="s">
        <v>30</v>
      </c>
      <c r="C12" s="3" t="s">
        <v>40</v>
      </c>
      <c r="D12" s="3" t="s">
        <v>43</v>
      </c>
      <c r="E12" s="3" t="str">
        <f>VLOOKUP(D12, RefData!$A$5:$C$6, 3, FALSE)</f>
        <v>NYSE</v>
      </c>
      <c r="F12" s="7" t="str">
        <f>VLOOKUP(D12, RefData!$A$5:$C$6, 2, FALSE)</f>
        <v>USD</v>
      </c>
      <c r="G12" s="3" t="str">
        <f>VLOOKUP(A12, RefData!$E$5:$F$14, 2, FALSE)</f>
        <v>Banking/Financial Services</v>
      </c>
      <c r="H12" s="3" t="s">
        <v>44</v>
      </c>
      <c r="I12" s="3">
        <v>6</v>
      </c>
      <c r="J12" s="3" t="s">
        <v>45</v>
      </c>
      <c r="K12" s="3" t="s">
        <v>46</v>
      </c>
      <c r="L12" s="3" t="str">
        <f>VLOOKUP(D12, RefData!$H$5:$I$6, 2, FALSE)</f>
        <v>Developed Market</v>
      </c>
    </row>
    <row r="13" spans="1:14" x14ac:dyDescent="0.3">
      <c r="A13" s="3" t="s">
        <v>21</v>
      </c>
      <c r="B13" s="3" t="s">
        <v>31</v>
      </c>
      <c r="C13" s="3" t="s">
        <v>41</v>
      </c>
      <c r="D13" s="3" t="s">
        <v>43</v>
      </c>
      <c r="E13" s="3" t="str">
        <f>VLOOKUP(D13, RefData!$A$5:$C$6, 3, FALSE)</f>
        <v>NYSE</v>
      </c>
      <c r="F13" s="7" t="str">
        <f>VLOOKUP(D13, RefData!$A$5:$C$6, 2, FALSE)</f>
        <v>USD</v>
      </c>
      <c r="G13" s="3" t="str">
        <f>VLOOKUP(A13, RefData!$E$5:$F$14, 2, FALSE)</f>
        <v>Beverages/Consumer</v>
      </c>
      <c r="H13" s="3" t="s">
        <v>44</v>
      </c>
      <c r="I13" s="3">
        <v>10</v>
      </c>
      <c r="J13" s="3" t="s">
        <v>45</v>
      </c>
      <c r="K13" s="3" t="s">
        <v>46</v>
      </c>
      <c r="L13" s="3" t="str">
        <f>VLOOKUP(D13, RefData!$H$5:$I$6, 2, FALSE)</f>
        <v>Developed Market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3F0A-746D-4C2F-A2FD-64F60F282FCD}">
  <dimension ref="A1:I14"/>
  <sheetViews>
    <sheetView showGridLines="0" workbookViewId="0">
      <selection activeCell="E2" sqref="E2"/>
    </sheetView>
  </sheetViews>
  <sheetFormatPr defaultRowHeight="14.4" x14ac:dyDescent="0.3"/>
  <cols>
    <col min="3" max="3" width="15.109375" customWidth="1"/>
    <col min="4" max="4" width="10.88671875" customWidth="1"/>
    <col min="5" max="5" width="17.21875" customWidth="1"/>
    <col min="6" max="6" width="31.5546875" customWidth="1"/>
    <col min="9" max="9" width="18.6640625" customWidth="1"/>
  </cols>
  <sheetData>
    <row r="1" spans="1:9" ht="21" x14ac:dyDescent="0.3">
      <c r="D1" s="1"/>
      <c r="F1" s="15" t="s">
        <v>86</v>
      </c>
    </row>
    <row r="2" spans="1:9" x14ac:dyDescent="0.3">
      <c r="D2" s="4"/>
    </row>
    <row r="4" spans="1:9" x14ac:dyDescent="0.3">
      <c r="A4" s="9" t="s">
        <v>3</v>
      </c>
      <c r="B4" s="9" t="s">
        <v>5</v>
      </c>
      <c r="C4" s="9" t="s">
        <v>47</v>
      </c>
      <c r="E4" s="9" t="s">
        <v>0</v>
      </c>
      <c r="F4" s="9" t="s">
        <v>6</v>
      </c>
      <c r="H4" s="9" t="s">
        <v>3</v>
      </c>
      <c r="I4" s="9" t="s">
        <v>61</v>
      </c>
    </row>
    <row r="5" spans="1:9" x14ac:dyDescent="0.3">
      <c r="A5" s="3" t="s">
        <v>42</v>
      </c>
      <c r="B5" s="3" t="s">
        <v>48</v>
      </c>
      <c r="C5" s="3" t="s">
        <v>49</v>
      </c>
      <c r="E5" s="3" t="s">
        <v>12</v>
      </c>
      <c r="F5" s="3" t="s">
        <v>52</v>
      </c>
      <c r="H5" s="3" t="s">
        <v>42</v>
      </c>
      <c r="I5" s="3" t="s">
        <v>62</v>
      </c>
    </row>
    <row r="6" spans="1:9" x14ac:dyDescent="0.3">
      <c r="A6" s="3" t="s">
        <v>43</v>
      </c>
      <c r="B6" s="3" t="s">
        <v>51</v>
      </c>
      <c r="C6" s="3" t="s">
        <v>50</v>
      </c>
      <c r="E6" s="3" t="s">
        <v>13</v>
      </c>
      <c r="F6" s="3" t="s">
        <v>53</v>
      </c>
      <c r="H6" s="3" t="s">
        <v>43</v>
      </c>
      <c r="I6" s="3" t="s">
        <v>63</v>
      </c>
    </row>
    <row r="7" spans="1:9" x14ac:dyDescent="0.3">
      <c r="E7" s="3" t="s">
        <v>14</v>
      </c>
      <c r="F7" s="3" t="s">
        <v>54</v>
      </c>
    </row>
    <row r="8" spans="1:9" x14ac:dyDescent="0.3">
      <c r="E8" s="3" t="s">
        <v>15</v>
      </c>
      <c r="F8" s="3" t="s">
        <v>55</v>
      </c>
    </row>
    <row r="9" spans="1:9" x14ac:dyDescent="0.3">
      <c r="E9" s="3" t="s">
        <v>16</v>
      </c>
      <c r="F9" s="3" t="s">
        <v>53</v>
      </c>
    </row>
    <row r="10" spans="1:9" x14ac:dyDescent="0.3">
      <c r="E10" s="3" t="s">
        <v>17</v>
      </c>
      <c r="F10" s="3" t="s">
        <v>56</v>
      </c>
    </row>
    <row r="11" spans="1:9" x14ac:dyDescent="0.3">
      <c r="E11" s="3" t="s">
        <v>18</v>
      </c>
      <c r="F11" s="3" t="s">
        <v>57</v>
      </c>
    </row>
    <row r="12" spans="1:9" x14ac:dyDescent="0.3">
      <c r="E12" s="3" t="s">
        <v>19</v>
      </c>
      <c r="F12" s="3" t="s">
        <v>58</v>
      </c>
    </row>
    <row r="13" spans="1:9" x14ac:dyDescent="0.3">
      <c r="E13" s="3" t="s">
        <v>20</v>
      </c>
      <c r="F13" s="3" t="s">
        <v>59</v>
      </c>
    </row>
    <row r="14" spans="1:9" x14ac:dyDescent="0.3">
      <c r="E14" s="3" t="s">
        <v>21</v>
      </c>
      <c r="F14" s="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C19E-EB64-4788-A224-ADCFBB724C49}">
  <dimension ref="A1:J9"/>
  <sheetViews>
    <sheetView showGridLines="0" tabSelected="1" workbookViewId="0">
      <selection activeCell="D1" sqref="D1"/>
    </sheetView>
  </sheetViews>
  <sheetFormatPr defaultRowHeight="14.4" x14ac:dyDescent="0.3"/>
  <cols>
    <col min="1" max="1" width="26.77734375" customWidth="1"/>
    <col min="2" max="2" width="13.44140625" bestFit="1" customWidth="1"/>
    <col min="4" max="4" width="27" customWidth="1"/>
    <col min="7" max="7" width="10.33203125" bestFit="1" customWidth="1"/>
  </cols>
  <sheetData>
    <row r="1" spans="1:10" ht="28.8" x14ac:dyDescent="0.3">
      <c r="D1" s="14" t="s">
        <v>85</v>
      </c>
      <c r="E1" s="5"/>
    </row>
    <row r="3" spans="1:10" ht="28.8" x14ac:dyDescent="0.3">
      <c r="A3" s="6" t="s">
        <v>64</v>
      </c>
      <c r="B3" s="6" t="s">
        <v>2</v>
      </c>
      <c r="C3" s="6" t="s">
        <v>65</v>
      </c>
      <c r="D3" s="6" t="s">
        <v>3</v>
      </c>
      <c r="E3" s="6" t="s">
        <v>5</v>
      </c>
      <c r="F3" s="6" t="s">
        <v>66</v>
      </c>
      <c r="G3" s="6" t="s">
        <v>67</v>
      </c>
      <c r="H3" s="6" t="s">
        <v>68</v>
      </c>
      <c r="I3" s="6" t="s">
        <v>69</v>
      </c>
      <c r="J3" s="6" t="s">
        <v>11</v>
      </c>
    </row>
    <row r="4" spans="1:10" ht="28.8" x14ac:dyDescent="0.3">
      <c r="A4" s="10" t="s">
        <v>70</v>
      </c>
      <c r="B4" s="10" t="s">
        <v>79</v>
      </c>
      <c r="C4" s="10" t="s">
        <v>75</v>
      </c>
      <c r="D4" s="10" t="s">
        <v>42</v>
      </c>
      <c r="E4" s="10" t="str">
        <f>VLOOKUP(D4,RefData!$A$5:$C$6,2,FALSE)</f>
        <v>INR</v>
      </c>
      <c r="F4" s="11">
        <v>7.6499999999999999E-2</v>
      </c>
      <c r="G4" s="12">
        <v>46949</v>
      </c>
      <c r="H4" s="10">
        <v>1000</v>
      </c>
      <c r="I4" s="10" t="s">
        <v>78</v>
      </c>
      <c r="J4" s="10" t="str">
        <f>VLOOKUP(D4, RefData!$H$5:$I$6, 2, FALSE)</f>
        <v>Emerging Market</v>
      </c>
    </row>
    <row r="5" spans="1:10" ht="28.8" x14ac:dyDescent="0.3">
      <c r="A5" s="10" t="s">
        <v>71</v>
      </c>
      <c r="B5" s="10" t="s">
        <v>80</v>
      </c>
      <c r="C5" s="10" t="s">
        <v>76</v>
      </c>
      <c r="D5" s="10" t="s">
        <v>42</v>
      </c>
      <c r="E5" s="10" t="str">
        <f>VLOOKUP(D5,RefData!$A$5:$C$6,2,FALSE)</f>
        <v>INR</v>
      </c>
      <c r="F5" s="11">
        <v>7.1999999999999995E-2</v>
      </c>
      <c r="G5" s="12">
        <v>47504</v>
      </c>
      <c r="H5" s="10">
        <v>1000</v>
      </c>
      <c r="I5" s="10" t="s">
        <v>78</v>
      </c>
      <c r="J5" s="10" t="str">
        <f>VLOOKUP(D5, RefData!$H$5:$I$6, 2, FALSE)</f>
        <v>Emerging Market</v>
      </c>
    </row>
    <row r="6" spans="1:10" ht="43.2" x14ac:dyDescent="0.3">
      <c r="A6" s="10" t="s">
        <v>72</v>
      </c>
      <c r="B6" s="10" t="s">
        <v>81</v>
      </c>
      <c r="C6" s="10" t="s">
        <v>77</v>
      </c>
      <c r="D6" s="10" t="s">
        <v>42</v>
      </c>
      <c r="E6" s="10" t="str">
        <f>VLOOKUP(D6,RefData!$A$5:$C$6,2,FALSE)</f>
        <v>INR</v>
      </c>
      <c r="F6" s="11">
        <v>6.8000000000000005E-2</v>
      </c>
      <c r="G6" s="12">
        <v>46730</v>
      </c>
      <c r="H6" s="10">
        <v>100</v>
      </c>
      <c r="I6" s="10" t="s">
        <v>46</v>
      </c>
      <c r="J6" s="10" t="str">
        <f>VLOOKUP(D6, RefData!$H$5:$I$6, 2, FALSE)</f>
        <v>Emerging Market</v>
      </c>
    </row>
    <row r="7" spans="1:10" ht="28.8" x14ac:dyDescent="0.3">
      <c r="A7" s="10" t="s">
        <v>73</v>
      </c>
      <c r="B7" s="10" t="s">
        <v>82</v>
      </c>
      <c r="C7" s="10" t="s">
        <v>43</v>
      </c>
      <c r="D7" s="10" t="s">
        <v>43</v>
      </c>
      <c r="E7" s="10" t="str">
        <f>VLOOKUP(D7,RefData!$A$5:$C$6,2,FALSE)</f>
        <v>USD</v>
      </c>
      <c r="F7" s="11">
        <v>4.2500000000000003E-2</v>
      </c>
      <c r="G7" s="12">
        <v>48990</v>
      </c>
      <c r="H7" s="10">
        <v>100</v>
      </c>
      <c r="I7" s="10" t="s">
        <v>46</v>
      </c>
      <c r="J7" s="10" t="str">
        <f>VLOOKUP(D7, RefData!$H$5:$I$6, 2, FALSE)</f>
        <v>Developed Market</v>
      </c>
    </row>
    <row r="8" spans="1:10" ht="28.8" x14ac:dyDescent="0.3">
      <c r="A8" s="10" t="s">
        <v>74</v>
      </c>
      <c r="B8" s="10" t="s">
        <v>83</v>
      </c>
      <c r="C8" s="10" t="s">
        <v>17</v>
      </c>
      <c r="D8" s="10" t="s">
        <v>43</v>
      </c>
      <c r="E8" s="10" t="str">
        <f>VLOOKUP(D8,RefData!$A$5:$C$6,2,FALSE)</f>
        <v>USD</v>
      </c>
      <c r="F8" s="11">
        <v>3.4500000000000003E-2</v>
      </c>
      <c r="G8" s="12">
        <v>47386</v>
      </c>
      <c r="H8" s="10">
        <v>1000</v>
      </c>
      <c r="I8" s="10" t="s">
        <v>78</v>
      </c>
      <c r="J8" s="10" t="str">
        <f>VLOOKUP(D8, RefData!$H$5:$I$6, 2, FALSE)</f>
        <v>Developed Market</v>
      </c>
    </row>
    <row r="9" spans="1:10" x14ac:dyDescent="0.3">
      <c r="C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EQ_Security_Master</vt:lpstr>
      <vt:lpstr>RefData</vt:lpstr>
      <vt:lpstr>FI_Security_Master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 Donthula</dc:creator>
  <cp:lastModifiedBy>Charan kumar Donthula</cp:lastModifiedBy>
  <dcterms:created xsi:type="dcterms:W3CDTF">2025-11-28T05:02:20Z</dcterms:created>
  <dcterms:modified xsi:type="dcterms:W3CDTF">2025-11-28T10:53:32Z</dcterms:modified>
</cp:coreProperties>
</file>